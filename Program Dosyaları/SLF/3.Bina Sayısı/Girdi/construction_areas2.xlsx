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a.sari\Desktop\SLF PROJE\SLF_hesabı\"/>
    </mc:Choice>
  </mc:AlternateContent>
  <xr:revisionPtr revIDLastSave="0" documentId="13_ncr:1_{C7714616-8CD8-4A1A-8F62-09F5A7CBA3B1}" xr6:coauthVersionLast="47" xr6:coauthVersionMax="47" xr10:uidLastSave="{00000000-0000-0000-0000-000000000000}"/>
  <bookViews>
    <workbookView xWindow="-108" yWindow="-108" windowWidth="23256" windowHeight="12456" xr2:uid="{B33483CA-C527-4B7B-A301-3B1F10F2E274}"/>
  </bookViews>
  <sheets>
    <sheet name="ar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D14" i="1"/>
  <c r="D5" i="1"/>
  <c r="D4" i="1"/>
  <c r="D3" i="1"/>
  <c r="D2" i="1"/>
</calcChain>
</file>

<file path=xl/sharedStrings.xml><?xml version="1.0" encoding="utf-8"?>
<sst xmlns="http://schemas.openxmlformats.org/spreadsheetml/2006/main" count="17" uniqueCount="17">
  <si>
    <t>bina başı NET alan</t>
  </si>
  <si>
    <t>taks</t>
  </si>
  <si>
    <t>1-2 KATLI MESKEN</t>
  </si>
  <si>
    <t>3-4 KATLI MESKEN</t>
  </si>
  <si>
    <t>5-7 KATLI MESKEN</t>
  </si>
  <si>
    <t>8 USTU KATLI MESKEN</t>
  </si>
  <si>
    <t>VILLA MESKEN</t>
  </si>
  <si>
    <t>AYDINLATMA</t>
  </si>
  <si>
    <t>BUYUK_SANAYI</t>
  </si>
  <si>
    <t>BUYUK_TICARETHANE</t>
  </si>
  <si>
    <t>KUCUK_SANAYI</t>
  </si>
  <si>
    <t>KUCUK_TICARETHANE</t>
  </si>
  <si>
    <t>ORTA_SANAYI</t>
  </si>
  <si>
    <t>ORTA_TICARETHANE</t>
  </si>
  <si>
    <t>TARIMSAL_SULAMA</t>
  </si>
  <si>
    <t>bina_başı_brüt_alan</t>
  </si>
  <si>
    <t>imar_tipi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</si>
</sst>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6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A2B4-E394-4AFF-A9D9-1ADC0D8A0A5E}">
  <dimension ref="A1:G14"/>
  <sheetViews>
    <sheetView tabSelected="1" workbookViewId="0">
      <selection activeCell="C3" sqref="C3"/>
    </sheetView>
  </sheetViews>
  <sheetFormatPr defaultRowHeight="14.4" x14ac:dyDescent="0.3"/>
  <cols>
    <col min="1" max="1" width="20.21875" style="2" bestFit="1" customWidth="1"/>
    <col min="2" max="2" width="16.88671875" style="2" bestFit="1" customWidth="1"/>
    <col min="3" max="3" width="18.33203125" style="2" bestFit="1" customWidth="1"/>
    <col min="4" max="4" width="12" bestFit="1" customWidth="1"/>
  </cols>
  <sheetData>
    <row r="1" spans="1:7" s="2" customFormat="1" x14ac:dyDescent="0.3">
      <c r="A1" s="1" t="s">
        <v>16</v>
      </c>
      <c r="B1" s="1" t="s">
        <v>0</v>
      </c>
      <c r="C1" s="1" t="s">
        <v>15</v>
      </c>
      <c r="D1" s="1" t="s">
        <v>1</v>
      </c>
      <c r="E1"/>
      <c r="F1"/>
      <c r="G1"/>
    </row>
    <row r="2" spans="1:7" s="2" customFormat="1" x14ac:dyDescent="0.3">
      <c r="A2" s="4" t="s">
        <v>2</v>
      </c>
      <c r="B2" s="2">
        <v>86.60137276325834</v>
      </c>
      <c r="C2" s="2">
        <v>285.67688935028895</v>
      </c>
      <c r="D2" s="2">
        <f>B2/C2</f>
        <v>0.30314448242633368</v>
      </c>
      <c r="E2"/>
      <c r="F2"/>
      <c r="G2"/>
    </row>
    <row r="3" spans="1:7" s="2" customFormat="1" x14ac:dyDescent="0.3">
      <c r="A3" s="4" t="s">
        <v>3</v>
      </c>
      <c r="B3" s="2">
        <v>159.56439053325391</v>
      </c>
      <c r="C3" s="2">
        <v>259.03666736541066</v>
      </c>
      <c r="D3" s="2">
        <f>B3/C3</f>
        <v>0.61599152025903747</v>
      </c>
      <c r="E3"/>
      <c r="F3"/>
      <c r="G3"/>
    </row>
    <row r="4" spans="1:7" s="2" customFormat="1" x14ac:dyDescent="0.3">
      <c r="A4" s="4" t="s">
        <v>4</v>
      </c>
      <c r="B4" s="2">
        <v>323.64253960976498</v>
      </c>
      <c r="C4" s="2">
        <v>716.49333189388392</v>
      </c>
      <c r="D4" s="2">
        <f>B4/C4</f>
        <v>0.45170349143974725</v>
      </c>
      <c r="E4"/>
      <c r="F4"/>
      <c r="G4"/>
    </row>
    <row r="5" spans="1:7" s="2" customFormat="1" x14ac:dyDescent="0.3">
      <c r="A5" s="4" t="s">
        <v>5</v>
      </c>
      <c r="B5" s="2">
        <v>753.71428571428601</v>
      </c>
      <c r="C5" s="2">
        <v>4349.1333975261086</v>
      </c>
      <c r="D5" s="2">
        <f>B5/C5</f>
        <v>0.17330217696771885</v>
      </c>
      <c r="E5"/>
      <c r="F5"/>
      <c r="G5"/>
    </row>
    <row r="6" spans="1:7" s="2" customFormat="1" x14ac:dyDescent="0.3">
      <c r="A6" s="4" t="s">
        <v>7</v>
      </c>
      <c r="C6" s="2">
        <v>200</v>
      </c>
      <c r="D6"/>
      <c r="E6"/>
    </row>
    <row r="7" spans="1:7" s="2" customFormat="1" x14ac:dyDescent="0.3">
      <c r="A7" s="4" t="s">
        <v>8</v>
      </c>
      <c r="B7" s="2">
        <f>C7*D7</f>
        <v>4703.0006123698713</v>
      </c>
      <c r="C7" s="2">
        <v>6270.6674831598284</v>
      </c>
      <c r="D7" s="2">
        <v>0.75</v>
      </c>
      <c r="E7"/>
    </row>
    <row r="8" spans="1:7" s="2" customFormat="1" x14ac:dyDescent="0.3">
      <c r="A8" s="4" t="s">
        <v>9</v>
      </c>
      <c r="B8" s="2">
        <f t="shared" ref="B8:B12" si="0">C8*D8</f>
        <v>8452.0060936806985</v>
      </c>
      <c r="C8" s="3">
        <v>14086.676822801164</v>
      </c>
      <c r="D8" s="2">
        <v>0.6</v>
      </c>
      <c r="E8"/>
    </row>
    <row r="9" spans="1:7" s="2" customFormat="1" x14ac:dyDescent="0.3">
      <c r="A9" s="4" t="s">
        <v>10</v>
      </c>
      <c r="B9" s="2">
        <f t="shared" si="0"/>
        <v>291.17330839359164</v>
      </c>
      <c r="C9" s="2">
        <v>727.93327098397901</v>
      </c>
      <c r="D9" s="2">
        <v>0.4</v>
      </c>
      <c r="E9"/>
    </row>
    <row r="10" spans="1:7" s="2" customFormat="1" x14ac:dyDescent="0.3">
      <c r="A10" s="4" t="s">
        <v>11</v>
      </c>
      <c r="B10" s="2">
        <f t="shared" si="0"/>
        <v>184.10834760672498</v>
      </c>
      <c r="C10" s="2">
        <v>460.27086901681241</v>
      </c>
      <c r="D10" s="2">
        <v>0.4</v>
      </c>
      <c r="E10"/>
    </row>
    <row r="11" spans="1:7" s="2" customFormat="1" x14ac:dyDescent="0.3">
      <c r="A11" s="4" t="s">
        <v>12</v>
      </c>
      <c r="B11" s="2">
        <f t="shared" si="0"/>
        <v>2948.1297474851153</v>
      </c>
      <c r="C11" s="2">
        <v>4913.5495791418589</v>
      </c>
      <c r="D11" s="2">
        <v>0.6</v>
      </c>
      <c r="E11"/>
      <c r="F11"/>
      <c r="G11"/>
    </row>
    <row r="12" spans="1:7" s="2" customFormat="1" x14ac:dyDescent="0.3">
      <c r="A12" s="4" t="s">
        <v>13</v>
      </c>
      <c r="B12" s="2">
        <f t="shared" si="0"/>
        <v>552.03276544015421</v>
      </c>
      <c r="C12" s="3">
        <v>1003.6959371639167</v>
      </c>
      <c r="D12" s="2">
        <v>0.55000000000000004</v>
      </c>
      <c r="E12"/>
      <c r="F12"/>
      <c r="G12"/>
    </row>
    <row r="13" spans="1:7" x14ac:dyDescent="0.3">
      <c r="A13" s="4" t="s">
        <v>14</v>
      </c>
      <c r="C13" s="2">
        <v>200</v>
      </c>
    </row>
    <row r="14" spans="1:7" x14ac:dyDescent="0.3">
      <c r="A14" s="4" t="s">
        <v>6</v>
      </c>
      <c r="B14" s="2">
        <v>118.74541422632711</v>
      </c>
      <c r="C14" s="2">
        <v>357.67610025967042</v>
      </c>
      <c r="D14" s="2">
        <f>B14/C14</f>
        <v>0.33199146976865035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E969E9F0-0E75-4AA1-97B5-54857EE6320E}"/>
</file>

<file path=customXml/itemProps2.xml><?xml version="1.0" encoding="utf-8"?>
<ds:datastoreItem xmlns:ds="http://schemas.openxmlformats.org/officeDocument/2006/customXml" ds:itemID="{0B23BA13-FB8F-49D4-911A-07C174327BEC}"/>
</file>

<file path=customXml/itemProps3.xml><?xml version="1.0" encoding="utf-8"?>
<ds:datastoreItem xmlns:ds="http://schemas.openxmlformats.org/officeDocument/2006/customXml" ds:itemID="{12FD4F3D-188F-48A5-968D-6ED341E61E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Sari</dc:creator>
  <cp:lastModifiedBy>Arda Sari</cp:lastModifiedBy>
  <dcterms:created xsi:type="dcterms:W3CDTF">2024-12-10T18:16:53Z</dcterms:created>
  <dcterms:modified xsi:type="dcterms:W3CDTF">2025-01-20T10:17:11Z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</Properties>
</file>